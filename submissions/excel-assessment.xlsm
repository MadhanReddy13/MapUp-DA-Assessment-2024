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1" hidePivotFieldList="1"/>
  <bookViews>
    <workbookView xWindow="0" yWindow="495" windowWidth="20730" windowHeight="11760" tabRatio="849" activeTab="3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9" l="1"/>
  <c r="C22" i="19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53" i="16"/>
  <c r="B54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29" i="16"/>
  <c r="B30" i="16"/>
  <c r="B31" i="16"/>
  <c r="B32" i="16"/>
  <c r="B33" i="16"/>
  <c r="B34" i="16"/>
  <c r="B35" i="16"/>
  <c r="B36" i="16"/>
  <c r="B23" i="16"/>
  <c r="B24" i="16"/>
  <c r="B25" i="16"/>
  <c r="B26" i="16"/>
  <c r="B27" i="16"/>
  <c r="B28" i="16"/>
  <c r="B17" i="16"/>
  <c r="B18" i="16"/>
  <c r="B19" i="16"/>
  <c r="B20" i="16"/>
  <c r="B21" i="16"/>
  <c r="B22" i="16"/>
  <c r="B16" i="16"/>
  <c r="F30" i="18"/>
  <c r="E30" i="18"/>
  <c r="D30" i="18"/>
  <c r="C30" i="18"/>
  <c r="B30" i="18"/>
  <c r="H41" i="1"/>
  <c r="F29" i="18"/>
  <c r="E29" i="18"/>
  <c r="D29" i="18"/>
  <c r="C29" i="18"/>
  <c r="B29" i="18"/>
  <c r="D28" i="18"/>
  <c r="E28" i="18"/>
  <c r="F28" i="18"/>
  <c r="C28" i="18"/>
  <c r="B28" i="18"/>
  <c r="C5" i="15"/>
  <c r="H2" i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<sst xmlns="http://schemas.openxmlformats.org/spreadsheetml/2006/main" count="323" uniqueCount="178">
  <si>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</si>
  <si>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</si>
  <si>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</si>
  <si>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</si>
  <si>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</si>
  <si>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</si>
  <si>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</si>
  <si>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</si>
  <si>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</si>
  <si>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</si>
  <si>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</si>
  <si>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</si>
  <si>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</si>
  <si>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</si>
  <si>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</si>
  <si>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</si>
  <si>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</si>
  <si>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</si>
  <si>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</si>
  <si>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</si>
  <si>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</si>
  <si>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</si>
  <si>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</si>
  <si>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</si>
  <si>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</si>
  <si>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</si>
  <si>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</si>
  <si>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</si>
  <si>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</si>
  <si>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</si>
  <si>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</si>
  <si>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</si>
  <si>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</si>
  <si>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</si>
  <si>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</si>
  <si>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</si>
  <si>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</si>
  <si>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</si>
  <si>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</si>
  <si>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</si>
  <si>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</si>
  <si>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</si>
  <si>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</si>
  <si>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</si>
  <si>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</si>
  <si>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</si>
  <si>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</si>
  <si>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</si>
  <si>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</si>
  <si>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</si>
  <si>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</si>
  <si>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</si>
  <si>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</si>
  <si>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</si>
  <si>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</si>
  <si>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</si>
  <si>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</si>
  <si>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</si>
  <si>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</si>
  <si>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</si>
  <si>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</si>
  <si>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</si>
  <si>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</si>
  <si>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</si>
  <si>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</si>
  <si>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</si>
  <si>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</si>
  <si>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</si>
  <si>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</si>
  <si>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</si>
  <si>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</si>
  <si>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</si>
  <si>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</si>
  <si>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</si>
  <si>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</si>
  <si>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</si>
  <si>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</si>
  <si>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</si>
  <si>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</si>
  <si>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</si>
  <si>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</si>
  <si>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</si>
  <si>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</si>
  <si>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</si>
  <si>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</si>
  <si>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</si>
  <si>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</si>
  <si>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</si>
  <si>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</si>
  <si>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</si>
  <si>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</si>
  <si>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</si>
  <si>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</si>
  <si>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</si>
  <si>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</si>
  <si>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</si>
  <si>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</si>
  <si>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</si>
  <si>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</si>
  <si>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</si>
  <si>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</si>
  <si>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</si>
  <si>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</si>
  <si>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</si>
  <si>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</si>
  <si>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</si>
  <si>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</si>
  <si>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</si>
  <si>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</si>
  <si>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</si>
  <si>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</si>
  <si>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</si>
  <si>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</si>
  <si>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</si>
  <si>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</si>
  <si>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</si>
  <si>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</si>
  <si>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</si>
  <si>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</si>
  <si>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</si>
  <si>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</si>
  <si>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</si>
  <si>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</si>
  <si>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</si>
  <si>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</si>
  <si>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</si>
  <si>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</si>
  <si>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</si>
  <si>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</si>
  <si>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</si>
  <si>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</si>
  <si>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</si>
  <si>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</si>
  <si>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</si>
  <si>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</si>
  <si>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</si>
  <si>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</si>
  <si>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</si>
  <si>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</si>
  <si>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</si>
  <si>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</si>
  <si>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</si>
  <si>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</si>
  <si>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</si>
  <si>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</si>
  <si>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</si>
  <si>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</si>
  <si>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</si>
  <si>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</si>
  <si>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</si>
  <si>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</si>
  <si>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</si>
  <si>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</si>
  <si>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</si>
  <si>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</si>
  <si>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</si>
  <si>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</si>
  <si>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</si>
  <si>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</si>
  <si>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</si>
  <si>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</si>
  <si>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</si>
  <si>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</si>
  <si>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</si>
  <si>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</si>
  <si>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</si>
  <si>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</si>
  <si>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</si>
  <si>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</si>
  <si>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</si>
  <si>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</si>
  <si>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</si>
  <si>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</si>
  <si>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</si>
  <si>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</si>
  <si>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</si>
  <si>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</si>
  <si>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The formula `=SUMIF(C12:C21, "&lt;&gt;#N/A") + (COUNTIF(C12:C21, "#N/A") * 20)` sums all valid numbers in the range `C12:C21`, ignoring any `#N/A` errors. It counts the number of `#N/A` errors and substitutes each with `20`, adding this total to the sum of valid numbers. This effectively provides a total that includes valid entries and accounts for errors by treating each `#N/A` as `20`.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</si>
</sst>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7" fontId="3" fillId="0" borderId="0" xfId="0" applyNumberFormat="1" applyFont="1"/>
    <xf numFmtId="0" fontId="2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20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9"/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5" t="s">
        <v>170</v>
      </c>
      <c r="B9" s="25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="85" zoomScaleNormal="85" workbookViewId="0">
      <pane ySplit="1" topLeftCell="A20" activePane="bottomLeft" state="frozen"/>
      <selection pane="bottomLeft" activeCell="H41" sqref="H4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f ca="1">SUMIF(H2:H40,  "&gt;20")</f>
        <v>0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H41" s="1" t="e">
        <f>SUM(H2:H40, "&gt;20")</f>
        <v>#VALUE!</v>
      </c>
    </row>
  </sheetData>
  <conditionalFormatting sqref="A1:A1048576">
    <cfRule type="duplicateValues" dxfId="17" priority="4"/>
  </conditionalFormatting>
  <conditionalFormatting sqref="B1:B1048576">
    <cfRule type="duplicateValues" dxfId="16" priority="3"/>
  </conditionalFormatting>
  <conditionalFormatting sqref="G2:W40">
    <cfRule type="cellIs" dxfId="15" priority="1" operator="equal">
      <formula>0</formula>
    </cfRule>
    <cfRule type="cellIs" dxfId="14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>
        <f>SUMIF(H2:H40, "&gt;20")</f>
        <v>0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abSelected="1" zoomScale="70" zoomScaleNormal="70" workbookViewId="0">
      <selection activeCell="I26" sqref="I2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163</v>
      </c>
    </row>
    <row r="2" spans="1:7" s="40" customFormat="1" ht="21" x14ac:dyDescent="0.35">
      <c r="B2" s="40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161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5" x14ac:dyDescent="0.25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5" x14ac:dyDescent="0.25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5" x14ac:dyDescent="0.25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5" x14ac:dyDescent="0.25">
      <c r="A10" s="7" t="s">
        <v>11</v>
      </c>
      <c r="B10" s="11">
        <v>9.4</v>
      </c>
      <c r="C10" s="11">
        <v>28.3</v>
      </c>
      <c r="D10" s="11">
        <v>16.100000000000001</v>
      </c>
      <c r="E10" s="11">
        <v>32.799999999999997</v>
      </c>
      <c r="F10" s="8">
        <v>16.100000000000001</v>
      </c>
    </row>
    <row r="11" spans="1:7" ht="15" x14ac:dyDescent="0.25">
      <c r="A11" s="7" t="s">
        <v>12</v>
      </c>
      <c r="B11" s="11">
        <v>11.6</v>
      </c>
      <c r="C11" s="11">
        <v>35.200000000000003</v>
      </c>
      <c r="D11" s="11">
        <v>21.3</v>
      </c>
      <c r="E11" s="11">
        <v>43</v>
      </c>
      <c r="F11" s="8">
        <v>21.3</v>
      </c>
    </row>
    <row r="12" spans="1:7" ht="15" x14ac:dyDescent="0.25">
      <c r="A12" s="7" t="s">
        <v>14</v>
      </c>
      <c r="B12" s="11">
        <v>18.399999999999999</v>
      </c>
      <c r="C12" s="11">
        <v>55.6</v>
      </c>
      <c r="D12" s="11">
        <v>33.799999999999997</v>
      </c>
      <c r="E12" s="11">
        <v>67.900000000000006</v>
      </c>
      <c r="F12" s="8">
        <v>33.799999999999997</v>
      </c>
    </row>
    <row r="13" spans="1:7" ht="15" x14ac:dyDescent="0.25">
      <c r="A13" s="7" t="s">
        <v>15</v>
      </c>
      <c r="B13" s="11">
        <v>0</v>
      </c>
      <c r="C13" s="11">
        <v>0</v>
      </c>
      <c r="D13" s="11">
        <v>0</v>
      </c>
      <c r="E13" s="11">
        <v>0</v>
      </c>
      <c r="F13" s="8">
        <v>0</v>
      </c>
    </row>
    <row r="14" spans="1:7" ht="15" x14ac:dyDescent="0.25">
      <c r="A14" s="7" t="s">
        <v>16</v>
      </c>
      <c r="B14" s="11">
        <v>21.9</v>
      </c>
      <c r="C14" s="11">
        <v>61.5</v>
      </c>
      <c r="D14" s="11">
        <v>40.1</v>
      </c>
      <c r="E14" s="11">
        <v>76.599999999999994</v>
      </c>
      <c r="F14" s="8">
        <v>40.1</v>
      </c>
    </row>
    <row r="15" spans="1:7" ht="15" x14ac:dyDescent="0.25">
      <c r="A15" s="7" t="s">
        <v>18</v>
      </c>
      <c r="B15" s="11">
        <v>26.8</v>
      </c>
      <c r="C15" s="11">
        <v>79.599999999999994</v>
      </c>
      <c r="D15" s="11">
        <v>47.9</v>
      </c>
      <c r="E15" s="11">
        <v>96.8</v>
      </c>
      <c r="F15" s="8">
        <v>47.9</v>
      </c>
    </row>
    <row r="16" spans="1:7" ht="15" x14ac:dyDescent="0.25">
      <c r="A16" s="7" t="s">
        <v>20</v>
      </c>
      <c r="B16" s="11">
        <v>28.5</v>
      </c>
      <c r="C16" s="11">
        <v>85.4</v>
      </c>
      <c r="D16" s="11">
        <v>52.3</v>
      </c>
      <c r="E16" s="11">
        <v>106.1</v>
      </c>
      <c r="F16" s="8">
        <v>52.3</v>
      </c>
    </row>
    <row r="17" spans="1:6" ht="15" x14ac:dyDescent="0.25">
      <c r="A17" s="7" t="s">
        <v>22</v>
      </c>
      <c r="B17" s="11">
        <v>30.7</v>
      </c>
      <c r="C17" s="11">
        <v>92.1</v>
      </c>
      <c r="D17" s="11">
        <v>57</v>
      </c>
      <c r="E17" s="11">
        <v>115.1</v>
      </c>
      <c r="F17" s="8">
        <v>57</v>
      </c>
    </row>
    <row r="18" spans="1:6" ht="15" x14ac:dyDescent="0.25">
      <c r="A18" s="7" t="s">
        <v>23</v>
      </c>
      <c r="B18" s="11">
        <v>33.799999999999997</v>
      </c>
      <c r="C18" s="11">
        <v>101.3</v>
      </c>
      <c r="D18" s="11">
        <v>61.4</v>
      </c>
      <c r="E18" s="11">
        <v>124.4</v>
      </c>
      <c r="F18" s="8">
        <v>61.4</v>
      </c>
    </row>
    <row r="19" spans="1:6" ht="15" x14ac:dyDescent="0.25">
      <c r="A19" s="7" t="s">
        <v>24</v>
      </c>
      <c r="B19" s="11">
        <v>34.700000000000003</v>
      </c>
      <c r="C19" s="11">
        <v>106.1</v>
      </c>
      <c r="D19" s="11">
        <v>63.6</v>
      </c>
      <c r="E19" s="11">
        <v>128.6</v>
      </c>
      <c r="F19" s="8">
        <v>63.6</v>
      </c>
    </row>
    <row r="20" spans="1:6" ht="15" x14ac:dyDescent="0.25">
      <c r="A20" s="7" t="s">
        <v>28</v>
      </c>
      <c r="B20" s="11">
        <v>0</v>
      </c>
      <c r="C20" s="11">
        <v>0</v>
      </c>
      <c r="D20" s="11">
        <v>0</v>
      </c>
      <c r="E20" s="11">
        <v>0</v>
      </c>
      <c r="F20" s="8">
        <v>0</v>
      </c>
    </row>
    <row r="21" spans="1:6" ht="15" x14ac:dyDescent="0.25">
      <c r="A21" s="7" t="s">
        <v>57</v>
      </c>
      <c r="B21" s="11">
        <v>41.3</v>
      </c>
      <c r="C21" s="11">
        <v>124.4</v>
      </c>
      <c r="D21" s="11">
        <v>75</v>
      </c>
      <c r="E21" s="11">
        <v>151.5</v>
      </c>
      <c r="F21" s="8">
        <v>75</v>
      </c>
    </row>
    <row r="22" spans="1:6" ht="15" x14ac:dyDescent="0.25">
      <c r="A22" s="7" t="s">
        <v>58</v>
      </c>
      <c r="B22" s="11">
        <v>-1</v>
      </c>
      <c r="C22" s="11">
        <v>-1</v>
      </c>
      <c r="D22" s="11">
        <v>-1</v>
      </c>
      <c r="E22" s="11">
        <v>-1</v>
      </c>
      <c r="F22" s="8">
        <v>-1</v>
      </c>
    </row>
    <row r="23" spans="1:6" ht="15" x14ac:dyDescent="0.25">
      <c r="A23" s="7" t="s">
        <v>31</v>
      </c>
      <c r="B23" s="11">
        <v>45</v>
      </c>
      <c r="C23" s="11">
        <v>133.4</v>
      </c>
      <c r="D23" s="11">
        <v>79.400000000000006</v>
      </c>
      <c r="E23" s="11">
        <v>160.9</v>
      </c>
      <c r="F23" s="8">
        <v>79.400000000000006</v>
      </c>
    </row>
    <row r="24" spans="1:6" ht="15" x14ac:dyDescent="0.25">
      <c r="A24" s="7" t="s">
        <v>32</v>
      </c>
      <c r="B24" s="11">
        <v>-1</v>
      </c>
      <c r="C24" s="11">
        <v>-1</v>
      </c>
      <c r="D24" s="11">
        <v>-1</v>
      </c>
      <c r="E24" s="11">
        <v>-1</v>
      </c>
      <c r="F24" s="8">
        <v>-1</v>
      </c>
    </row>
    <row r="25" spans="1:6" ht="15" x14ac:dyDescent="0.25">
      <c r="A25" s="7" t="s">
        <v>34</v>
      </c>
      <c r="B25" s="11">
        <v>43.3</v>
      </c>
      <c r="C25" s="11">
        <v>128.6</v>
      </c>
      <c r="D25" s="11">
        <v>79.400000000000006</v>
      </c>
      <c r="E25" s="11">
        <v>160.9</v>
      </c>
      <c r="F25" s="8">
        <v>79.400000000000006</v>
      </c>
    </row>
    <row r="26" spans="1:6" ht="15" x14ac:dyDescent="0.25">
      <c r="A26" s="7" t="s">
        <v>37</v>
      </c>
      <c r="B26" s="11">
        <v>49.1</v>
      </c>
      <c r="C26" s="11">
        <v>146.80000000000001</v>
      </c>
      <c r="D26" s="11">
        <v>90.9</v>
      </c>
      <c r="E26" s="11">
        <v>183.5</v>
      </c>
      <c r="F26" s="8">
        <v>90.9</v>
      </c>
    </row>
    <row r="27" spans="1:6" ht="15" x14ac:dyDescent="0.25">
      <c r="A27" s="7" t="s">
        <v>39</v>
      </c>
      <c r="B27" s="11">
        <v>51.8</v>
      </c>
      <c r="C27" s="11">
        <v>156.4</v>
      </c>
      <c r="D27" s="11">
        <v>93.1</v>
      </c>
      <c r="E27" s="11">
        <v>188.1</v>
      </c>
      <c r="F27" s="8"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conditionalFormatting sqref="B6:B9">
    <cfRule type="cellIs" dxfId="13" priority="9" operator="equal">
      <formula>0</formula>
    </cfRule>
    <cfRule type="cellIs" dxfId="12" priority="10" operator="equal">
      <formula>-1</formula>
    </cfRule>
  </conditionalFormatting>
  <conditionalFormatting sqref="C6:C9">
    <cfRule type="cellIs" dxfId="11" priority="7" operator="equal">
      <formula>0</formula>
    </cfRule>
    <cfRule type="cellIs" dxfId="10" priority="8" operator="equal">
      <formula>-1</formula>
    </cfRule>
  </conditionalFormatting>
  <conditionalFormatting sqref="D6:D9">
    <cfRule type="cellIs" dxfId="9" priority="5" operator="equal">
      <formula>0</formula>
    </cfRule>
    <cfRule type="cellIs" dxfId="8" priority="6" operator="equal">
      <formula>-1</formula>
    </cfRule>
  </conditionalFormatting>
  <conditionalFormatting sqref="E6:E9">
    <cfRule type="cellIs" dxfId="7" priority="3" operator="equal">
      <formula>0</formula>
    </cfRule>
    <cfRule type="cellIs" dxfId="6" priority="4" operator="equal">
      <formula>-1</formula>
    </cfRule>
  </conditionalFormatting>
  <conditionalFormatting sqref="F6:F9">
    <cfRule type="cellIs" dxfId="5" priority="1" operator="equal">
      <formula>0</formula>
    </cfRule>
    <cfRule type="cellIs" dxfId="4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6"/>
  <sheetViews>
    <sheetView topLeftCell="A2" zoomScaleNormal="100" workbookViewId="0">
      <selection activeCell="F56" sqref="F5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152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164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161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120</v>
      </c>
      <c r="B16" s="11" t="str">
        <f>LEFT(A16, FIND("-",A16)-1)</f>
        <v>20000</v>
      </c>
      <c r="C16" s="1" t="str">
        <f>MID(A16,FIND("-",A16)+1,FIND("-",A16,FIND("-",A16)+1) - FIND("-",A16)-1)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46" t="str">
        <f>RIGHT(A16, LEN(A16) - FIND("~", SUBSTITUTE(A16, "-", "~", LEN(A16) - LEN(SUBSTITUTE(A16, "-", "")))))</f>
        <v>24</v>
      </c>
    </row>
    <row r="17" spans="1:6" x14ac:dyDescent="0.25">
      <c r="A17" s="7" t="s">
        <v>121</v>
      </c>
      <c r="B17" s="11" t="str">
        <f>LEFT(A17, FIND("-",A17)-1)</f>
        <v>20002</v>
      </c>
      <c r="C17" s="1" t="str">
        <f t="shared" ref="C17:C54" si="0">MID(A17,FIND("-",A17)+1,FIND("-",A17,FIND("-",A17)+1) - FIND("-",A17)-1)</f>
        <v>Monday</v>
      </c>
      <c r="D17" s="11" t="str">
        <f t="shared" ref="D17:D54" si="1">MID(A17, FIND("-", A17, FIND("-", A17) + 1) + 1, FIND("-", A17, FIND("-", A17, FIND("-", A17) + 1) + 1) - FIND("-", A17, FIND("-", A17) + 1) - 1)</f>
        <v>0</v>
      </c>
      <c r="E17" s="1" t="str">
        <f t="shared" ref="E17:E54" si="2">MID(A17, FIND("-", A17, FIND("-", A17, FIND("-", A17) + 1) + 1) + 1, FIND("-", A17, FIND("-", A17, FIND("-", A17, FIND("-", A17) + 1) + 1) + 1) - FIND("-", A17, FIND("-", A17, FIND("-", A17) + 1) + 1) - 1)</f>
        <v>Sunday</v>
      </c>
      <c r="F17" s="46" t="str">
        <f t="shared" ref="F17:F56" si="3">RIGHT(A17, LEN(A17) - FIND("~", SUBSTITUTE(A17, "-", "~", LEN(A17) - LEN(SUBSTITUTE(A17, "-", "")))))</f>
        <v>24</v>
      </c>
    </row>
    <row r="18" spans="1:6" x14ac:dyDescent="0.25">
      <c r="A18" s="7" t="s">
        <v>122</v>
      </c>
      <c r="B18" s="11" t="str">
        <f>LEFT(A18, FIND("-",A18)-1)</f>
        <v>20004</v>
      </c>
      <c r="C18" s="1" t="str">
        <f t="shared" si="0"/>
        <v>Monday</v>
      </c>
      <c r="D18" s="11" t="str">
        <f t="shared" si="1"/>
        <v>0</v>
      </c>
      <c r="E18" s="1" t="str">
        <f t="shared" si="2"/>
        <v>Sunday</v>
      </c>
      <c r="F18" s="46" t="str">
        <f t="shared" si="3"/>
        <v>24</v>
      </c>
    </row>
    <row r="19" spans="1:6" x14ac:dyDescent="0.25">
      <c r="A19" s="7" t="s">
        <v>123</v>
      </c>
      <c r="B19" s="11" t="str">
        <f>LEFT(A19, FIND("-",A19)-1)</f>
        <v>20006</v>
      </c>
      <c r="C19" s="1" t="str">
        <f t="shared" si="0"/>
        <v>Monday</v>
      </c>
      <c r="D19" s="11" t="str">
        <f t="shared" si="1"/>
        <v>0</v>
      </c>
      <c r="E19" s="1" t="str">
        <f t="shared" si="2"/>
        <v>Sunday</v>
      </c>
      <c r="F19" s="46" t="str">
        <f t="shared" si="3"/>
        <v>24</v>
      </c>
    </row>
    <row r="20" spans="1:6" x14ac:dyDescent="0.25">
      <c r="A20" s="7" t="s">
        <v>124</v>
      </c>
      <c r="B20" s="11" t="str">
        <f>LEFT(A20, FIND("-",A20)-1)</f>
        <v>20008</v>
      </c>
      <c r="C20" s="1" t="str">
        <f t="shared" si="0"/>
        <v>Monday</v>
      </c>
      <c r="D20" s="11" t="str">
        <f t="shared" si="1"/>
        <v>0</v>
      </c>
      <c r="E20" s="1" t="str">
        <f t="shared" si="2"/>
        <v>Sunday</v>
      </c>
      <c r="F20" s="46" t="str">
        <f t="shared" si="3"/>
        <v>24</v>
      </c>
    </row>
    <row r="21" spans="1:6" x14ac:dyDescent="0.25">
      <c r="A21" s="7" t="s">
        <v>125</v>
      </c>
      <c r="B21" s="11" t="str">
        <f>LEFT(A21, FIND("-",A21)-1)</f>
        <v>20010</v>
      </c>
      <c r="C21" s="1" t="str">
        <f t="shared" si="0"/>
        <v>Monday</v>
      </c>
      <c r="D21" s="11" t="str">
        <f t="shared" si="1"/>
        <v>0</v>
      </c>
      <c r="E21" s="1" t="str">
        <f t="shared" si="2"/>
        <v>Sunday</v>
      </c>
      <c r="F21" s="46" t="str">
        <f t="shared" si="3"/>
        <v>24</v>
      </c>
    </row>
    <row r="22" spans="1:6" x14ac:dyDescent="0.25">
      <c r="A22" s="7" t="s">
        <v>126</v>
      </c>
      <c r="B22" s="11" t="str">
        <f>LEFT(A22, FIND("-",A22)-1)</f>
        <v>20012</v>
      </c>
      <c r="C22" s="1" t="str">
        <f t="shared" si="0"/>
        <v>Monday</v>
      </c>
      <c r="D22" s="11" t="str">
        <f t="shared" si="1"/>
        <v>0</v>
      </c>
      <c r="E22" s="1" t="str">
        <f t="shared" si="2"/>
        <v>Sunday</v>
      </c>
      <c r="F22" s="46" t="str">
        <f t="shared" si="3"/>
        <v>24</v>
      </c>
    </row>
    <row r="23" spans="1:6" x14ac:dyDescent="0.25">
      <c r="A23" s="7" t="s">
        <v>127</v>
      </c>
      <c r="B23" s="11" t="str">
        <f>LEFT(A23, FIND("-",A23)-1)</f>
        <v>20014</v>
      </c>
      <c r="C23" s="1" t="str">
        <f t="shared" si="0"/>
        <v>Monday</v>
      </c>
      <c r="D23" s="11" t="str">
        <f t="shared" si="1"/>
        <v>0</v>
      </c>
      <c r="E23" s="1" t="str">
        <f t="shared" si="2"/>
        <v>Sunday</v>
      </c>
      <c r="F23" s="46" t="str">
        <f t="shared" si="3"/>
        <v>24</v>
      </c>
    </row>
    <row r="24" spans="1:6" x14ac:dyDescent="0.25">
      <c r="A24" s="7" t="s">
        <v>128</v>
      </c>
      <c r="B24" s="11" t="str">
        <f>LEFT(A24, FIND("-",A24)-1)</f>
        <v>20016</v>
      </c>
      <c r="C24" s="1" t="str">
        <f t="shared" si="0"/>
        <v>Monday</v>
      </c>
      <c r="D24" s="11" t="str">
        <f t="shared" si="1"/>
        <v>0</v>
      </c>
      <c r="E24" s="1" t="str">
        <f t="shared" si="2"/>
        <v>Sunday</v>
      </c>
      <c r="F24" s="46" t="str">
        <f t="shared" si="3"/>
        <v>24</v>
      </c>
    </row>
    <row r="25" spans="1:6" x14ac:dyDescent="0.25">
      <c r="A25" s="7" t="s">
        <v>129</v>
      </c>
      <c r="B25" s="11" t="str">
        <f>LEFT(A25, FIND("-",A25)-1)</f>
        <v>20018</v>
      </c>
      <c r="C25" s="1" t="str">
        <f t="shared" si="0"/>
        <v>Monday</v>
      </c>
      <c r="D25" s="11" t="str">
        <f t="shared" si="1"/>
        <v>0</v>
      </c>
      <c r="E25" s="1" t="str">
        <f t="shared" si="2"/>
        <v>Sunday</v>
      </c>
      <c r="F25" s="46" t="str">
        <f t="shared" si="3"/>
        <v>24</v>
      </c>
    </row>
    <row r="26" spans="1:6" x14ac:dyDescent="0.25">
      <c r="A26" s="7" t="s">
        <v>130</v>
      </c>
      <c r="B26" s="11" t="str">
        <f>LEFT(A26, FIND("-",A26)-1)</f>
        <v>20020</v>
      </c>
      <c r="C26" s="1" t="str">
        <f t="shared" si="0"/>
        <v>Monday</v>
      </c>
      <c r="D26" s="11" t="str">
        <f t="shared" si="1"/>
        <v>0</v>
      </c>
      <c r="E26" s="1" t="str">
        <f t="shared" si="2"/>
        <v>Sunday</v>
      </c>
      <c r="F26" s="46" t="str">
        <f t="shared" si="3"/>
        <v>24</v>
      </c>
    </row>
    <row r="27" spans="1:6" x14ac:dyDescent="0.25">
      <c r="A27" s="7" t="s">
        <v>131</v>
      </c>
      <c r="B27" s="11" t="str">
        <f>LEFT(A27, FIND("-",A27)-1)</f>
        <v>20022</v>
      </c>
      <c r="C27" s="1" t="str">
        <f t="shared" si="0"/>
        <v>Monday</v>
      </c>
      <c r="D27" s="11" t="str">
        <f t="shared" si="1"/>
        <v>0</v>
      </c>
      <c r="E27" s="1" t="str">
        <f t="shared" si="2"/>
        <v>Sunday</v>
      </c>
      <c r="F27" s="46" t="str">
        <f t="shared" si="3"/>
        <v>24</v>
      </c>
    </row>
    <row r="28" spans="1:6" x14ac:dyDescent="0.25">
      <c r="A28" s="7" t="s">
        <v>132</v>
      </c>
      <c r="B28" s="11" t="str">
        <f>LEFT(A28, FIND("-",A28)-1)</f>
        <v>20024</v>
      </c>
      <c r="C28" s="1" t="str">
        <f t="shared" si="0"/>
        <v>Monday</v>
      </c>
      <c r="D28" s="11" t="str">
        <f t="shared" si="1"/>
        <v>0</v>
      </c>
      <c r="E28" s="1" t="str">
        <f t="shared" si="2"/>
        <v>Sunday</v>
      </c>
      <c r="F28" s="46" t="str">
        <f t="shared" si="3"/>
        <v>24</v>
      </c>
    </row>
    <row r="29" spans="1:6" x14ac:dyDescent="0.25">
      <c r="A29" s="7" t="s">
        <v>133</v>
      </c>
      <c r="B29" s="11" t="str">
        <f>LEFT(A29, FIND("-",A29)-1)</f>
        <v>20026</v>
      </c>
      <c r="C29" s="1" t="str">
        <f t="shared" si="0"/>
        <v>Monday</v>
      </c>
      <c r="D29" s="11" t="str">
        <f t="shared" si="1"/>
        <v>0</v>
      </c>
      <c r="E29" s="1" t="str">
        <f t="shared" si="2"/>
        <v>Sunday</v>
      </c>
      <c r="F29" s="46" t="str">
        <f t="shared" si="3"/>
        <v>24</v>
      </c>
    </row>
    <row r="30" spans="1:6" x14ac:dyDescent="0.25">
      <c r="A30" s="7" t="s">
        <v>134</v>
      </c>
      <c r="B30" s="11" t="str">
        <f>LEFT(A30, FIND("-",A30)-1)</f>
        <v>20028</v>
      </c>
      <c r="C30" s="1" t="str">
        <f t="shared" si="0"/>
        <v>Monday</v>
      </c>
      <c r="D30" s="11" t="str">
        <f t="shared" si="1"/>
        <v>0</v>
      </c>
      <c r="E30" s="1" t="str">
        <f t="shared" si="2"/>
        <v>Sunday</v>
      </c>
      <c r="F30" s="46" t="str">
        <f t="shared" si="3"/>
        <v>24</v>
      </c>
    </row>
    <row r="31" spans="1:6" x14ac:dyDescent="0.25">
      <c r="A31" s="7" t="s">
        <v>135</v>
      </c>
      <c r="B31" s="11" t="str">
        <f>LEFT(A31, FIND("-",A31)-1)</f>
        <v>20030</v>
      </c>
      <c r="C31" s="1" t="str">
        <f t="shared" si="0"/>
        <v>Monday</v>
      </c>
      <c r="D31" s="11" t="str">
        <f t="shared" si="1"/>
        <v>0</v>
      </c>
      <c r="E31" s="1" t="str">
        <f t="shared" si="2"/>
        <v>Sunday</v>
      </c>
      <c r="F31" s="46" t="str">
        <f t="shared" si="3"/>
        <v>24</v>
      </c>
    </row>
    <row r="32" spans="1:6" x14ac:dyDescent="0.25">
      <c r="A32" s="7" t="s">
        <v>136</v>
      </c>
      <c r="B32" s="11" t="str">
        <f>LEFT(A32, FIND("-",A32)-1)</f>
        <v>20032</v>
      </c>
      <c r="C32" s="1" t="str">
        <f t="shared" si="0"/>
        <v>Monday</v>
      </c>
      <c r="D32" s="11" t="str">
        <f t="shared" si="1"/>
        <v>0</v>
      </c>
      <c r="E32" s="1" t="str">
        <f t="shared" si="2"/>
        <v>Sunday</v>
      </c>
      <c r="F32" s="46" t="str">
        <f t="shared" si="3"/>
        <v>24</v>
      </c>
    </row>
    <row r="33" spans="1:6" x14ac:dyDescent="0.25">
      <c r="A33" s="7" t="s">
        <v>137</v>
      </c>
      <c r="B33" s="11" t="str">
        <f>LEFT(A33, FIND("-",A33)-1)</f>
        <v>20034</v>
      </c>
      <c r="C33" s="1" t="str">
        <f t="shared" si="0"/>
        <v>Monday</v>
      </c>
      <c r="D33" s="11" t="str">
        <f t="shared" si="1"/>
        <v>0</v>
      </c>
      <c r="E33" s="1" t="str">
        <f t="shared" si="2"/>
        <v>Sunday</v>
      </c>
      <c r="F33" s="46" t="str">
        <f t="shared" si="3"/>
        <v>24</v>
      </c>
    </row>
    <row r="34" spans="1:6" x14ac:dyDescent="0.25">
      <c r="A34" s="7" t="s">
        <v>138</v>
      </c>
      <c r="B34" s="11" t="str">
        <f>LEFT(A34, FIND("-",A34)-1)</f>
        <v>20036</v>
      </c>
      <c r="C34" s="1" t="str">
        <f t="shared" si="0"/>
        <v>Monday</v>
      </c>
      <c r="D34" s="11" t="str">
        <f t="shared" si="1"/>
        <v>0</v>
      </c>
      <c r="E34" s="1" t="str">
        <f t="shared" si="2"/>
        <v>Sunday</v>
      </c>
      <c r="F34" s="46" t="str">
        <f t="shared" si="3"/>
        <v>24</v>
      </c>
    </row>
    <row r="35" spans="1:6" x14ac:dyDescent="0.25">
      <c r="A35" s="7" t="s">
        <v>139</v>
      </c>
      <c r="B35" s="11" t="str">
        <f>LEFT(A35, FIND("-",A35)-1)</f>
        <v>20038</v>
      </c>
      <c r="C35" s="1" t="str">
        <f t="shared" si="0"/>
        <v>Monday</v>
      </c>
      <c r="D35" s="11" t="str">
        <f t="shared" si="1"/>
        <v>0</v>
      </c>
      <c r="E35" s="1" t="str">
        <f t="shared" si="2"/>
        <v>Sunday</v>
      </c>
      <c r="F35" s="46" t="str">
        <f t="shared" si="3"/>
        <v>24</v>
      </c>
    </row>
    <row r="36" spans="1:6" x14ac:dyDescent="0.25">
      <c r="A36" s="7" t="s">
        <v>140</v>
      </c>
      <c r="B36" s="11" t="str">
        <f>LEFT(A36, FIND("-",A36)-1)</f>
        <v>20040</v>
      </c>
      <c r="C36" s="1" t="str">
        <f t="shared" si="0"/>
        <v>Monday</v>
      </c>
      <c r="D36" s="11" t="str">
        <f t="shared" si="1"/>
        <v>0</v>
      </c>
      <c r="E36" s="1" t="str">
        <f t="shared" si="2"/>
        <v>Sunday</v>
      </c>
      <c r="F36" s="46" t="str">
        <f t="shared" si="3"/>
        <v>24</v>
      </c>
    </row>
    <row r="37" spans="1:6" x14ac:dyDescent="0.25">
      <c r="A37" s="7" t="s">
        <v>141</v>
      </c>
      <c r="B37" s="11" t="str">
        <f>LEFT(A37, FIND("-",A37)-1)</f>
        <v>20042</v>
      </c>
      <c r="C37" s="1" t="str">
        <f t="shared" si="0"/>
        <v>Monday</v>
      </c>
      <c r="D37" s="11" t="str">
        <f t="shared" si="1"/>
        <v>0</v>
      </c>
      <c r="E37" s="1" t="str">
        <f t="shared" si="2"/>
        <v>Sunday</v>
      </c>
      <c r="F37" s="46" t="str">
        <f t="shared" si="3"/>
        <v>24</v>
      </c>
    </row>
    <row r="38" spans="1:6" x14ac:dyDescent="0.25">
      <c r="A38" s="7" t="s">
        <v>142</v>
      </c>
      <c r="B38" s="11" t="str">
        <f>LEFT(A38, FIND("-",A38)-1)</f>
        <v>20044</v>
      </c>
      <c r="C38" s="1" t="str">
        <f t="shared" si="0"/>
        <v>Monday</v>
      </c>
      <c r="D38" s="11" t="str">
        <f t="shared" si="1"/>
        <v>0</v>
      </c>
      <c r="E38" s="1" t="str">
        <f t="shared" si="2"/>
        <v>Sunday</v>
      </c>
      <c r="F38" s="46" t="str">
        <f t="shared" si="3"/>
        <v>24</v>
      </c>
    </row>
    <row r="39" spans="1:6" x14ac:dyDescent="0.25">
      <c r="A39" s="7" t="s">
        <v>143</v>
      </c>
      <c r="B39" s="11" t="str">
        <f>LEFT(A39, FIND("-",A39)-1)</f>
        <v>20046</v>
      </c>
      <c r="C39" s="1" t="str">
        <f t="shared" si="0"/>
        <v>Monday</v>
      </c>
      <c r="D39" s="11" t="str">
        <f t="shared" si="1"/>
        <v>0</v>
      </c>
      <c r="E39" s="1" t="str">
        <f t="shared" si="2"/>
        <v>Sunday</v>
      </c>
      <c r="F39" s="46" t="str">
        <f t="shared" si="3"/>
        <v>24</v>
      </c>
    </row>
    <row r="40" spans="1:6" x14ac:dyDescent="0.25">
      <c r="A40" s="7" t="s">
        <v>144</v>
      </c>
      <c r="B40" s="11" t="str">
        <f>LEFT(A40, FIND("-",A40)-1)</f>
        <v>20048</v>
      </c>
      <c r="C40" s="1" t="str">
        <f t="shared" si="0"/>
        <v>Monday</v>
      </c>
      <c r="D40" s="11" t="str">
        <f t="shared" si="1"/>
        <v>0</v>
      </c>
      <c r="E40" s="1" t="str">
        <f t="shared" si="2"/>
        <v>Sunday</v>
      </c>
      <c r="F40" s="46" t="str">
        <f t="shared" si="3"/>
        <v>24</v>
      </c>
    </row>
    <row r="41" spans="1:6" x14ac:dyDescent="0.25">
      <c r="A41" s="7" t="s">
        <v>145</v>
      </c>
      <c r="B41" s="11" t="str">
        <f>LEFT(A41, FIND("-",A41)-1)</f>
        <v>20050</v>
      </c>
      <c r="C41" s="1" t="str">
        <f t="shared" si="0"/>
        <v>Monday</v>
      </c>
      <c r="D41" s="11" t="str">
        <f t="shared" si="1"/>
        <v>0</v>
      </c>
      <c r="E41" s="1" t="str">
        <f t="shared" si="2"/>
        <v>Sunday</v>
      </c>
      <c r="F41" s="46" t="str">
        <f t="shared" si="3"/>
        <v>24</v>
      </c>
    </row>
    <row r="42" spans="1:6" x14ac:dyDescent="0.25">
      <c r="A42" s="7" t="s">
        <v>146</v>
      </c>
      <c r="B42" s="11" t="str">
        <f>LEFT(A42, FIND("-",A42)-1)</f>
        <v>20052</v>
      </c>
      <c r="C42" s="1" t="str">
        <f t="shared" si="0"/>
        <v>Monday</v>
      </c>
      <c r="D42" s="11" t="str">
        <f t="shared" si="1"/>
        <v>0</v>
      </c>
      <c r="E42" s="1" t="str">
        <f t="shared" si="2"/>
        <v>Sunday</v>
      </c>
      <c r="F42" s="46" t="str">
        <f t="shared" si="3"/>
        <v>24</v>
      </c>
    </row>
    <row r="43" spans="1:6" x14ac:dyDescent="0.25">
      <c r="A43" s="7" t="s">
        <v>147</v>
      </c>
      <c r="B43" s="11" t="str">
        <f>LEFT(A43, FIND("-",A43)-1)</f>
        <v>20054</v>
      </c>
      <c r="C43" s="1" t="str">
        <f t="shared" si="0"/>
        <v>Monday</v>
      </c>
      <c r="D43" s="11" t="str">
        <f t="shared" si="1"/>
        <v>0</v>
      </c>
      <c r="E43" s="1" t="str">
        <f t="shared" si="2"/>
        <v>Sunday</v>
      </c>
      <c r="F43" s="46" t="str">
        <f t="shared" si="3"/>
        <v>24</v>
      </c>
    </row>
    <row r="44" spans="1:6" x14ac:dyDescent="0.25">
      <c r="A44" s="7" t="s">
        <v>148</v>
      </c>
      <c r="B44" s="11" t="str">
        <f>LEFT(A44, FIND("-",A44)-1)</f>
        <v>20058</v>
      </c>
      <c r="C44" s="1" t="str">
        <f t="shared" si="0"/>
        <v>Monday</v>
      </c>
      <c r="D44" s="11" t="str">
        <f t="shared" si="1"/>
        <v>0</v>
      </c>
      <c r="E44" s="1" t="str">
        <f t="shared" si="2"/>
        <v>Sunday</v>
      </c>
      <c r="F44" s="46" t="str">
        <f t="shared" si="3"/>
        <v>24</v>
      </c>
    </row>
    <row r="45" spans="1:6" x14ac:dyDescent="0.25">
      <c r="A45" s="7" t="s">
        <v>149</v>
      </c>
      <c r="B45" s="11" t="str">
        <f>LEFT(A45, FIND("-",A45)-1)</f>
        <v>20060</v>
      </c>
      <c r="C45" s="1" t="str">
        <f t="shared" si="0"/>
        <v>Monday</v>
      </c>
      <c r="D45" s="11" t="str">
        <f t="shared" si="1"/>
        <v>0</v>
      </c>
      <c r="E45" s="1" t="str">
        <f t="shared" si="2"/>
        <v>Sunday</v>
      </c>
      <c r="F45" s="46" t="str">
        <f t="shared" si="3"/>
        <v>24</v>
      </c>
    </row>
    <row r="46" spans="1:6" x14ac:dyDescent="0.25">
      <c r="A46" s="7" t="s">
        <v>111</v>
      </c>
      <c r="B46" s="11" t="str">
        <f>LEFT(A46, FIND("-",A46)-1)</f>
        <v>21000</v>
      </c>
      <c r="C46" s="1" t="str">
        <f t="shared" si="0"/>
        <v>Monday</v>
      </c>
      <c r="D46" s="11" t="str">
        <f t="shared" si="1"/>
        <v>0</v>
      </c>
      <c r="E46" s="1" t="str">
        <f t="shared" si="2"/>
        <v>Sunday</v>
      </c>
      <c r="F46" s="46" t="str">
        <f t="shared" si="3"/>
        <v>24</v>
      </c>
    </row>
    <row r="47" spans="1:6" x14ac:dyDescent="0.25">
      <c r="A47" s="7" t="s">
        <v>112</v>
      </c>
      <c r="B47" s="11" t="str">
        <f>LEFT(A47, FIND("-",A47)-1)</f>
        <v>21002</v>
      </c>
      <c r="C47" s="1" t="str">
        <f t="shared" si="0"/>
        <v>Monday</v>
      </c>
      <c r="D47" s="11" t="str">
        <f t="shared" si="1"/>
        <v>0</v>
      </c>
      <c r="E47" s="1" t="str">
        <f t="shared" si="2"/>
        <v>Sunday</v>
      </c>
      <c r="F47" s="46" t="str">
        <f t="shared" si="3"/>
        <v>24</v>
      </c>
    </row>
    <row r="48" spans="1:6" x14ac:dyDescent="0.25">
      <c r="A48" s="7" t="s">
        <v>113</v>
      </c>
      <c r="B48" s="11" t="str">
        <f>LEFT(A48, FIND("-",A48)-1)</f>
        <v>21004</v>
      </c>
      <c r="C48" s="1" t="str">
        <f t="shared" si="0"/>
        <v>Monday</v>
      </c>
      <c r="D48" s="11" t="str">
        <f t="shared" si="1"/>
        <v>0</v>
      </c>
      <c r="E48" s="1" t="str">
        <f t="shared" si="2"/>
        <v>Sunday</v>
      </c>
      <c r="F48" s="46" t="str">
        <f t="shared" si="3"/>
        <v>24</v>
      </c>
    </row>
    <row r="49" spans="1:6" x14ac:dyDescent="0.25">
      <c r="A49" s="7" t="s">
        <v>114</v>
      </c>
      <c r="B49" s="11" t="str">
        <f>LEFT(A49, FIND("-",A49)-1)</f>
        <v>21006</v>
      </c>
      <c r="C49" s="1" t="str">
        <f t="shared" si="0"/>
        <v>Monday</v>
      </c>
      <c r="D49" s="11" t="str">
        <f t="shared" si="1"/>
        <v>0</v>
      </c>
      <c r="E49" s="1" t="str">
        <f t="shared" si="2"/>
        <v>Sunday</v>
      </c>
      <c r="F49" s="46" t="str">
        <f t="shared" si="3"/>
        <v>24</v>
      </c>
    </row>
    <row r="50" spans="1:6" x14ac:dyDescent="0.25">
      <c r="A50" s="7" t="s">
        <v>115</v>
      </c>
      <c r="B50" s="11" t="str">
        <f>LEFT(A50, FIND("-",A50)-1)</f>
        <v>21008</v>
      </c>
      <c r="C50" s="1" t="str">
        <f t="shared" si="0"/>
        <v>Monday</v>
      </c>
      <c r="D50" s="11" t="str">
        <f t="shared" si="1"/>
        <v>0</v>
      </c>
      <c r="E50" s="1" t="str">
        <f t="shared" si="2"/>
        <v>Sunday</v>
      </c>
      <c r="F50" s="46" t="str">
        <f t="shared" si="3"/>
        <v>24</v>
      </c>
    </row>
    <row r="51" spans="1:6" x14ac:dyDescent="0.25">
      <c r="A51" s="7" t="s">
        <v>116</v>
      </c>
      <c r="B51" s="11" t="str">
        <f>LEFT(A51, FIND("-",A51)-1)</f>
        <v>21010</v>
      </c>
      <c r="C51" s="1" t="str">
        <f t="shared" si="0"/>
        <v>Monday</v>
      </c>
      <c r="D51" s="11" t="str">
        <f t="shared" si="1"/>
        <v>0</v>
      </c>
      <c r="E51" s="1" t="str">
        <f t="shared" si="2"/>
        <v>Sunday</v>
      </c>
      <c r="F51" s="46" t="str">
        <f t="shared" si="3"/>
        <v>24</v>
      </c>
    </row>
    <row r="52" spans="1:6" x14ac:dyDescent="0.25">
      <c r="A52" s="7" t="s">
        <v>117</v>
      </c>
      <c r="B52" s="11" t="str">
        <f>LEFT(A52, FIND("-",A52)-1)</f>
        <v>21012</v>
      </c>
      <c r="C52" s="1" t="str">
        <f t="shared" si="0"/>
        <v>Monday</v>
      </c>
      <c r="D52" s="11" t="str">
        <f t="shared" si="1"/>
        <v>0</v>
      </c>
      <c r="E52" s="1" t="str">
        <f t="shared" si="2"/>
        <v>Sunday</v>
      </c>
      <c r="F52" s="46" t="str">
        <f t="shared" si="3"/>
        <v>24</v>
      </c>
    </row>
    <row r="53" spans="1:6" x14ac:dyDescent="0.25">
      <c r="A53" s="7" t="s">
        <v>118</v>
      </c>
      <c r="B53" s="11" t="str">
        <f>LEFT(A53, FIND("-",A53)-1)</f>
        <v>21014</v>
      </c>
      <c r="C53" s="1" t="str">
        <f t="shared" si="0"/>
        <v>Monday</v>
      </c>
      <c r="D53" s="11" t="str">
        <f t="shared" si="1"/>
        <v>0</v>
      </c>
      <c r="E53" s="1" t="str">
        <f t="shared" si="2"/>
        <v>Sunday</v>
      </c>
      <c r="F53" s="46" t="str">
        <f t="shared" si="3"/>
        <v>24</v>
      </c>
    </row>
    <row r="54" spans="1:6" x14ac:dyDescent="0.25">
      <c r="A54" s="9" t="s">
        <v>119</v>
      </c>
      <c r="B54" s="11" t="str">
        <f>LEFT(A54, FIND("-",A54)-1)</f>
        <v>21016</v>
      </c>
      <c r="C54" s="1" t="str">
        <f t="shared" si="0"/>
        <v>Monday</v>
      </c>
      <c r="D54" s="11" t="str">
        <f t="shared" si="1"/>
        <v>0</v>
      </c>
      <c r="E54" s="1" t="str">
        <f t="shared" si="2"/>
        <v>Sunday</v>
      </c>
      <c r="F54" s="46" t="str">
        <f t="shared" si="3"/>
        <v>24</v>
      </c>
    </row>
    <row r="55" spans="1:6" x14ac:dyDescent="0.25">
      <c r="F55" s="46"/>
    </row>
    <row r="56" spans="1:6" x14ac:dyDescent="0.25">
      <c r="F56" s="46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166</v>
      </c>
    </row>
    <row r="2" spans="1:3" ht="18.75" x14ac:dyDescent="0.3">
      <c r="B2" s="39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46">
        <f>SUMIF(C12:C21, "&lt;&gt;#N/A") + (COUNTIF(C12:C21, "#N/A") * 20)</f>
        <v>600</v>
      </c>
    </row>
    <row r="7" spans="1:3" ht="15" x14ac:dyDescent="0.25">
      <c r="A7" s="3" t="s">
        <v>152</v>
      </c>
      <c r="B7" s="1" t="s">
        <v>177</v>
      </c>
    </row>
    <row r="10" spans="1:3" ht="23.25" x14ac:dyDescent="0.35">
      <c r="A10" s="17" t="s">
        <v>161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153</v>
      </c>
      <c r="C17" s="16">
        <v>150</v>
      </c>
    </row>
    <row r="18" spans="1:3" ht="15" x14ac:dyDescent="0.25">
      <c r="A18" s="31">
        <v>44933</v>
      </c>
      <c r="B18" s="16" t="s">
        <v>154</v>
      </c>
      <c r="C18" s="16">
        <v>80</v>
      </c>
    </row>
    <row r="19" spans="1:3" ht="15" x14ac:dyDescent="0.25">
      <c r="A19" s="31">
        <v>44934</v>
      </c>
      <c r="B19" s="16" t="s">
        <v>155</v>
      </c>
      <c r="C19" s="16" t="e">
        <v>#N/A</v>
      </c>
    </row>
    <row r="20" spans="1:3" ht="15" x14ac:dyDescent="0.25">
      <c r="A20" s="31">
        <v>44935</v>
      </c>
      <c r="B20" s="16" t="s">
        <v>156</v>
      </c>
      <c r="C20" s="16">
        <v>30</v>
      </c>
    </row>
    <row r="21" spans="1:3" ht="15" x14ac:dyDescent="0.25">
      <c r="A21" s="31">
        <v>44936</v>
      </c>
      <c r="B21" s="16" t="s">
        <v>157</v>
      </c>
      <c r="C21" s="16" t="e">
        <v>#N/A</v>
      </c>
    </row>
    <row r="22" spans="1:3" ht="15" x14ac:dyDescent="0.25">
      <c r="B22" s="16" t="s">
        <v>158</v>
      </c>
      <c r="C22" s="46">
        <f>SUMIF(C12:C21, "&lt;&gt;#N/A") + (COUNTIF(C12:C21, "#N/A") * 20)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5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174</v>
      </c>
    </row>
    <row r="3" spans="1:14" ht="15" x14ac:dyDescent="0.25">
      <c r="B3" s="1" t="s">
        <v>150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152</v>
      </c>
      <c r="B5" s="1"/>
    </row>
    <row r="6" spans="1:14" ht="15" x14ac:dyDescent="0.25">
      <c r="A6" s="3"/>
      <c r="B6" s="1"/>
    </row>
    <row r="8" spans="1:14" ht="23.25" x14ac:dyDescent="0.35">
      <c r="A8" s="17" t="s">
        <v>161</v>
      </c>
      <c r="M8" s="17" t="s">
        <v>162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167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/>
    </row>
    <row r="24" spans="1:14" ht="15" x14ac:dyDescent="0.25">
      <c r="A24" s="7">
        <v>10100</v>
      </c>
      <c r="B24" s="11">
        <v>10104</v>
      </c>
      <c r="C24" s="43"/>
    </row>
    <row r="25" spans="1:14" ht="15" x14ac:dyDescent="0.25">
      <c r="A25" s="7">
        <v>10108</v>
      </c>
      <c r="B25" s="11">
        <v>10102</v>
      </c>
      <c r="C25" s="43"/>
    </row>
    <row r="26" spans="1:14" ht="15" x14ac:dyDescent="0.25">
      <c r="A26" s="7">
        <v>10100</v>
      </c>
      <c r="B26" s="11">
        <v>10106</v>
      </c>
      <c r="C26" s="43"/>
    </row>
    <row r="27" spans="1:14" ht="15" x14ac:dyDescent="0.25">
      <c r="A27" s="7">
        <v>10108</v>
      </c>
      <c r="B27" s="11">
        <v>10110</v>
      </c>
      <c r="C27" s="43"/>
    </row>
    <row r="28" spans="1:14" ht="15" x14ac:dyDescent="0.25">
      <c r="A28" s="7">
        <v>10102</v>
      </c>
      <c r="B28" s="11">
        <v>10104</v>
      </c>
      <c r="C28" s="43"/>
    </row>
    <row r="29" spans="1:14" ht="15" x14ac:dyDescent="0.25">
      <c r="A29" s="7">
        <v>10106</v>
      </c>
      <c r="B29" s="11">
        <v>10108</v>
      </c>
      <c r="C29" s="43"/>
    </row>
    <row r="30" spans="1:14" ht="15" x14ac:dyDescent="0.25">
      <c r="A30" s="7">
        <v>10102</v>
      </c>
      <c r="B30" s="11">
        <v>10106</v>
      </c>
      <c r="C30" s="43"/>
    </row>
    <row r="31" spans="1:14" ht="15" x14ac:dyDescent="0.25">
      <c r="A31" s="7">
        <v>10110</v>
      </c>
      <c r="B31" s="11">
        <v>10114</v>
      </c>
      <c r="C31" s="43"/>
    </row>
    <row r="32" spans="1:14" ht="15" x14ac:dyDescent="0.25">
      <c r="A32" s="7">
        <v>10104</v>
      </c>
      <c r="B32" s="11">
        <v>10106</v>
      </c>
      <c r="C32" s="43"/>
    </row>
    <row r="33" spans="1:3" ht="15" x14ac:dyDescent="0.25">
      <c r="A33" s="7">
        <v>10110</v>
      </c>
      <c r="B33" s="11">
        <v>10112</v>
      </c>
      <c r="C33" s="43"/>
    </row>
    <row r="34" spans="1:3" ht="15" x14ac:dyDescent="0.25">
      <c r="A34" s="7">
        <v>10100</v>
      </c>
      <c r="B34" s="11">
        <v>10114</v>
      </c>
      <c r="C34" s="43"/>
    </row>
    <row r="35" spans="1:3" ht="15" x14ac:dyDescent="0.25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2024-10-24T11:39:37Z</dcterms:modified>
</cp:coreProperties>
</file>